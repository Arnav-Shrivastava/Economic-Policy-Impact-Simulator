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ok Pandey\Desktop\"/>
    </mc:Choice>
  </mc:AlternateContent>
  <xr:revisionPtr revIDLastSave="0" documentId="13_ncr:1_{87539005-9C53-4DA2-8503-4D36CD24B271}" xr6:coauthVersionLast="47" xr6:coauthVersionMax="47" xr10:uidLastSave="{00000000-0000-0000-0000-000000000000}"/>
  <bookViews>
    <workbookView xWindow="-120" yWindow="-120" windowWidth="29040" windowHeight="15720" xr2:uid="{38062B30-92F4-426D-BFAC-84CF6275F0F6}"/>
  </bookViews>
  <sheets>
    <sheet name="UBC-Monthly" sheetId="1" r:id="rId1"/>
    <sheet name="Sectoral-Monthly" sheetId="2" r:id="rId2"/>
    <sheet name="UBC-Annual" sheetId="3" r:id="rId3"/>
    <sheet name="Sectoral-Annual" sheetId="4" r:id="rId4"/>
    <sheet name="Sectoral Weights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" i="2" l="1"/>
  <c r="U1" i="2"/>
  <c r="T1" i="2"/>
</calcChain>
</file>

<file path=xl/sharedStrings.xml><?xml version="1.0" encoding="utf-8"?>
<sst xmlns="http://schemas.openxmlformats.org/spreadsheetml/2006/main" count="80" uniqueCount="55">
  <si>
    <t>Weight</t>
  </si>
  <si>
    <t>Primary goods</t>
  </si>
  <si>
    <t>Capital goods</t>
  </si>
  <si>
    <t>Intermediate goods</t>
  </si>
  <si>
    <t>Infrastructure/ construction goods</t>
  </si>
  <si>
    <t>Consumer durables</t>
  </si>
  <si>
    <t>Consumer non-durables</t>
  </si>
  <si>
    <t>Description</t>
  </si>
  <si>
    <t>Manufacturing</t>
  </si>
  <si>
    <t>General</t>
  </si>
  <si>
    <t>Use-based category</t>
  </si>
  <si>
    <t>2023-24</t>
  </si>
  <si>
    <t>2024-25</t>
  </si>
  <si>
    <t>Weights</t>
  </si>
  <si>
    <t>Manufacture of food products</t>
  </si>
  <si>
    <t>Manufacture of beverages</t>
  </si>
  <si>
    <t>Manufacture of tobacco products</t>
  </si>
  <si>
    <t>Manufacture of textiles</t>
  </si>
  <si>
    <t>Manufacture of wearing apparel</t>
  </si>
  <si>
    <t>Manufacture of leather and related products</t>
  </si>
  <si>
    <t>Manufacture of wood and products of wood and cork, except furniture; manufacture of articles of straw and plaiting materials</t>
  </si>
  <si>
    <t>Manufacture of paper and paper products</t>
  </si>
  <si>
    <t>Printing and reproduction of recorded media</t>
  </si>
  <si>
    <t>Manufacture of coke and refined petroleum products</t>
  </si>
  <si>
    <t>Manufacture of chemicals and chemical products</t>
  </si>
  <si>
    <t>Manufacture of rubber and plastics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</si>
  <si>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</si>
  <si>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</si>
  <si>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</si>
  <si>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</si>
  <si>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</si>
  <si>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</si>
  <si>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</si>
  <si>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</si>
  <si>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</t>
  </si>
  <si>
    <t>Other manufacturing</t>
  </si>
  <si>
    <t>2025-26</t>
  </si>
  <si>
    <t>NIC 2025</t>
  </si>
  <si>
    <t>Mining &amp; Quarrying</t>
  </si>
  <si>
    <t>Manufacture of basic pharmaceutical products and pharmaceutical preparations</t>
  </si>
  <si>
    <t>Electricity &amp; Gas Supply</t>
  </si>
  <si>
    <t>Water Supply, Sewerage &amp; Waste Management</t>
  </si>
  <si>
    <t>05-06</t>
  </si>
  <si>
    <t>Fuel Minerals</t>
  </si>
  <si>
    <t>07</t>
  </si>
  <si>
    <t>Metallic Minerals incl. Rare Earth Mineral</t>
  </si>
  <si>
    <t>08</t>
  </si>
  <si>
    <t>Non-Metallic Minerals incl. Minor Mineral</t>
  </si>
  <si>
    <t>Renewable Electricity</t>
  </si>
  <si>
    <t>Non-Renewable Electricity</t>
  </si>
  <si>
    <t>Electricity</t>
  </si>
  <si>
    <t>Gas Supply</t>
  </si>
  <si>
    <t>Water Supply</t>
  </si>
  <si>
    <t>37-38</t>
  </si>
  <si>
    <t>Sewerage &amp; Waste Management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</si>
</sst>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"/>
    <numFmt numFmtId="166" formatCode="0.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000000"/>
      <name val="Times New Roman"/>
      <family val="1"/>
    </font>
    <font>
      <sz val="12"/>
      <color theme="1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name val="Calibri Light"/>
      <family val="1"/>
      <scheme val="major"/>
    </font>
    <font>
      <b/>
      <sz val="12"/>
      <color theme="1"/>
      <name val="Calibri Light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3" fillId="0" borderId="0" xfId="0" applyFont="1"/>
    <xf numFmtId="17" fontId="4" fillId="0" borderId="0" xfId="0" applyNumberFormat="1" applyFont="1"/>
    <xf numFmtId="17" fontId="4" fillId="0" borderId="0" xfId="0" applyNumberFormat="1" applyFont="1" applyAlignment="1">
      <alignment horizontal="right"/>
    </xf>
    <xf numFmtId="0" fontId="4" fillId="0" borderId="0" xfId="0" applyFont="1" applyAlignment="1">
      <alignment horizontal="center"/>
    </xf>
    <xf numFmtId="17" fontId="2" fillId="0" borderId="0" xfId="0" applyNumberFormat="1" applyFont="1" applyAlignment="1">
      <alignment horizontal="center"/>
    </xf>
    <xf numFmtId="0" fontId="4" fillId="0" borderId="0" xfId="0" applyFont="1"/>
    <xf numFmtId="0" fontId="6" fillId="0" borderId="0" xfId="0" applyFont="1" applyAlignment="1">
      <alignment vertical="center"/>
    </xf>
    <xf numFmtId="165" fontId="3" fillId="2" borderId="0" xfId="0" applyNumberFormat="1" applyFont="1" applyFill="1"/>
    <xf numFmtId="0" fontId="4" fillId="0" borderId="1" xfId="0" applyFont="1" applyBorder="1" applyAlignment="1">
      <alignment horizontal="center"/>
    </xf>
    <xf numFmtId="17" fontId="2" fillId="0" borderId="1" xfId="0" applyNumberFormat="1" applyFont="1" applyBorder="1" applyAlignment="1">
      <alignment horizontal="center"/>
    </xf>
    <xf numFmtId="164" fontId="3" fillId="2" borderId="1" xfId="0" applyNumberFormat="1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166" fontId="7" fillId="2" borderId="1" xfId="0" applyNumberFormat="1" applyFont="1" applyFill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8" fillId="0" borderId="2" xfId="0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7" fillId="0" borderId="2" xfId="0" applyFont="1" applyBorder="1" applyAlignment="1">
      <alignment horizontal="left" vertical="center"/>
    </xf>
    <xf numFmtId="165" fontId="5" fillId="2" borderId="0" xfId="1" applyNumberFormat="1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165" fontId="3" fillId="2" borderId="1" xfId="0" applyNumberFormat="1" applyFont="1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left" vertical="top"/>
    </xf>
    <xf numFmtId="1" fontId="3" fillId="0" borderId="1" xfId="0" applyNumberFormat="1" applyFont="1" applyBorder="1" applyAlignment="1">
      <alignment horizontal="left" vertical="top" wrapText="1"/>
    </xf>
    <xf numFmtId="1" fontId="7" fillId="0" borderId="1" xfId="0" quotePrefix="1" applyNumberFormat="1" applyFont="1" applyBorder="1" applyAlignment="1">
      <alignment horizontal="center" vertical="center"/>
    </xf>
    <xf numFmtId="0" fontId="7" fillId="0" borderId="1" xfId="0" applyFont="1" applyBorder="1" applyAlignment="1">
      <alignment vertical="center" wrapText="1"/>
    </xf>
    <xf numFmtId="1" fontId="7" fillId="0" borderId="1" xfId="0" applyNumberFormat="1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D4C84-845D-484F-8C14-DD3A719C0EE0}">
  <dimension ref="A1:AO7"/>
  <sheetViews>
    <sheetView tabSelected="1" workbookViewId="0">
      <selection activeCell="C2" sqref="C2:AO7"/>
    </sheetView>
  </sheetViews>
  <sheetFormatPr defaultRowHeight="15" x14ac:dyDescent="0.25"/>
  <cols>
    <col min="1" max="1" width="37.42578125" customWidth="1"/>
  </cols>
  <sheetData>
    <row r="1" spans="1:41" ht="15.75" x14ac:dyDescent="0.25">
      <c r="A1" s="4" t="s">
        <v>10</v>
      </c>
      <c r="B1" s="4" t="s">
        <v>0</v>
      </c>
      <c r="C1" s="2">
        <v>45017</v>
      </c>
      <c r="D1" s="2">
        <v>45047</v>
      </c>
      <c r="E1" s="2">
        <v>45078</v>
      </c>
      <c r="F1" s="2">
        <v>45108</v>
      </c>
      <c r="G1" s="2">
        <v>45139</v>
      </c>
      <c r="H1" s="2">
        <v>45170</v>
      </c>
      <c r="I1" s="2">
        <v>45200</v>
      </c>
      <c r="J1" s="2">
        <v>45231</v>
      </c>
      <c r="K1" s="2">
        <v>45261</v>
      </c>
      <c r="L1" s="2">
        <v>45292</v>
      </c>
      <c r="M1" s="2">
        <v>45323</v>
      </c>
      <c r="N1" s="2">
        <v>45352</v>
      </c>
      <c r="O1" s="3">
        <v>45383</v>
      </c>
      <c r="P1" s="3">
        <v>45413</v>
      </c>
      <c r="Q1" s="3">
        <v>45444</v>
      </c>
      <c r="R1" s="3">
        <v>45474</v>
      </c>
      <c r="S1" s="3">
        <v>45505</v>
      </c>
      <c r="T1" s="3">
        <v>45536</v>
      </c>
      <c r="U1" s="3">
        <v>45566</v>
      </c>
      <c r="V1" s="3">
        <v>45597</v>
      </c>
      <c r="W1" s="2">
        <v>45627</v>
      </c>
      <c r="X1" s="2">
        <v>45658</v>
      </c>
      <c r="Y1" s="2">
        <v>45689</v>
      </c>
      <c r="Z1" s="2">
        <v>45717</v>
      </c>
      <c r="AA1" s="2">
        <v>45748</v>
      </c>
      <c r="AB1" s="2">
        <v>45778</v>
      </c>
      <c r="AC1" s="2">
        <v>45809</v>
      </c>
      <c r="AD1" s="2">
        <v>45839</v>
      </c>
      <c r="AE1" s="2">
        <v>45870</v>
      </c>
      <c r="AF1" s="2">
        <v>45901</v>
      </c>
      <c r="AG1" s="2">
        <v>45931</v>
      </c>
      <c r="AH1" s="2">
        <v>45962</v>
      </c>
      <c r="AI1" s="2">
        <v>45992</v>
      </c>
      <c r="AJ1" s="2">
        <v>46023</v>
      </c>
      <c r="AK1" s="2">
        <v>46054</v>
      </c>
      <c r="AL1" s="2">
        <v>46082</v>
      </c>
      <c r="AM1" s="2">
        <v>46113</v>
      </c>
      <c r="AN1" s="2">
        <v>46143</v>
      </c>
      <c r="AO1" s="2">
        <v>46174</v>
      </c>
    </row>
    <row r="2" spans="1:41" ht="15.75" x14ac:dyDescent="0.25">
      <c r="A2" s="1" t="s">
        <v>1</v>
      </c>
      <c r="B2" s="7">
        <v>31.135999999999999</v>
      </c>
      <c r="C2" s="8">
        <v>1.2999999999999972</v>
      </c>
      <c r="D2" s="8">
        <v>5.7999999999999972</v>
      </c>
      <c r="E2" s="8">
        <v>5.4000000000000057</v>
      </c>
      <c r="F2" s="8">
        <v>-0.90000000000000568</v>
      </c>
      <c r="G2" s="8">
        <v>1.2999999999999972</v>
      </c>
      <c r="H2" s="8">
        <v>-1.9000000000000057</v>
      </c>
      <c r="I2" s="8">
        <v>5</v>
      </c>
      <c r="J2" s="8">
        <v>0.79999999999999716</v>
      </c>
      <c r="K2" s="8">
        <v>8.2999999999999972</v>
      </c>
      <c r="L2" s="8">
        <v>11.200000000000003</v>
      </c>
      <c r="M2" s="8">
        <v>8.7000000000000028</v>
      </c>
      <c r="N2" s="8">
        <v>19.5</v>
      </c>
      <c r="O2" s="8">
        <v>10.1</v>
      </c>
      <c r="P2" s="8">
        <v>9.5</v>
      </c>
      <c r="Q2" s="8">
        <v>5.9</v>
      </c>
      <c r="R2" s="8">
        <v>7.2</v>
      </c>
      <c r="S2" s="8">
        <v>-0.9</v>
      </c>
      <c r="T2" s="8">
        <v>2.7</v>
      </c>
      <c r="U2" s="8">
        <v>3.8</v>
      </c>
      <c r="V2" s="8">
        <v>4.4000000000000004</v>
      </c>
      <c r="W2" s="8">
        <v>5.0999999999999996</v>
      </c>
      <c r="X2" s="8">
        <v>4.8</v>
      </c>
      <c r="Y2" s="8">
        <v>2.4</v>
      </c>
      <c r="Z2" s="8">
        <v>2.2999999999999998</v>
      </c>
      <c r="AA2" s="8">
        <v>1.2</v>
      </c>
      <c r="AB2" s="8">
        <v>0.7</v>
      </c>
      <c r="AC2" s="8">
        <v>2.1</v>
      </c>
      <c r="AD2" s="8">
        <v>4.8</v>
      </c>
      <c r="AE2" s="8">
        <v>7.6</v>
      </c>
      <c r="AF2" s="8">
        <v>6.6</v>
      </c>
      <c r="AG2" s="8">
        <v>0.4</v>
      </c>
      <c r="AH2" s="8">
        <v>1.1000000000000001</v>
      </c>
      <c r="AI2" s="8">
        <v>2.4</v>
      </c>
      <c r="AJ2" s="8">
        <v>1.9</v>
      </c>
      <c r="AK2" s="8">
        <v>0</v>
      </c>
      <c r="AL2" s="8">
        <v>0.2</v>
      </c>
      <c r="AM2" s="8">
        <v>0.8</v>
      </c>
      <c r="AN2" s="8">
        <v>2.7</v>
      </c>
      <c r="AO2" s="8">
        <v>4.9000000000000004</v>
      </c>
    </row>
    <row r="3" spans="1:41" ht="15.75" x14ac:dyDescent="0.25">
      <c r="A3" s="1" t="s">
        <v>2</v>
      </c>
      <c r="B3" s="7">
        <v>8.0820000000000007</v>
      </c>
      <c r="C3" s="8">
        <v>-4.7000000000000028</v>
      </c>
      <c r="D3" s="8">
        <v>1.5999999999999943</v>
      </c>
      <c r="E3" s="8">
        <v>8.7999999999999972</v>
      </c>
      <c r="F3" s="8">
        <v>4.0999999999999943</v>
      </c>
      <c r="G3" s="8">
        <v>12.799999999999997</v>
      </c>
      <c r="H3" s="8">
        <v>16.299999999999997</v>
      </c>
      <c r="I3" s="8">
        <v>7.5999999999999943</v>
      </c>
      <c r="J3" s="8">
        <v>1.2000000000000028</v>
      </c>
      <c r="K3" s="8">
        <v>8.2000000000000028</v>
      </c>
      <c r="L3" s="8">
        <v>9.5</v>
      </c>
      <c r="M3" s="8">
        <v>13.700000000000003</v>
      </c>
      <c r="N3" s="8">
        <v>42.400000000000006</v>
      </c>
      <c r="O3" s="8">
        <v>2.1</v>
      </c>
      <c r="P3" s="8">
        <v>7.7</v>
      </c>
      <c r="Q3" s="8">
        <v>9.3000000000000007</v>
      </c>
      <c r="R3" s="8">
        <v>10.8</v>
      </c>
      <c r="S3" s="8">
        <v>0.7</v>
      </c>
      <c r="T3" s="8">
        <v>5.6</v>
      </c>
      <c r="U3" s="8">
        <v>3</v>
      </c>
      <c r="V3" s="8">
        <v>7.6</v>
      </c>
      <c r="W3" s="8">
        <v>15.1</v>
      </c>
      <c r="X3" s="8">
        <v>8.3000000000000007</v>
      </c>
      <c r="Y3" s="8">
        <v>8.3000000000000007</v>
      </c>
      <c r="Z3" s="8">
        <v>14.2</v>
      </c>
      <c r="AA3" s="8">
        <v>14.5</v>
      </c>
      <c r="AB3" s="8">
        <v>9.5</v>
      </c>
      <c r="AC3" s="8">
        <v>3.4</v>
      </c>
      <c r="AD3" s="8">
        <v>5.9</v>
      </c>
      <c r="AE3" s="8">
        <v>6</v>
      </c>
      <c r="AF3" s="8">
        <v>13.2</v>
      </c>
      <c r="AG3" s="8">
        <v>5.4</v>
      </c>
      <c r="AH3" s="8">
        <v>16.600000000000001</v>
      </c>
      <c r="AI3" s="8">
        <v>12.9</v>
      </c>
      <c r="AJ3" s="8">
        <v>12.4</v>
      </c>
      <c r="AK3" s="8">
        <v>16.5</v>
      </c>
      <c r="AL3" s="8">
        <v>8.5</v>
      </c>
      <c r="AM3" s="8">
        <v>12</v>
      </c>
      <c r="AN3" s="8">
        <v>15.5</v>
      </c>
      <c r="AO3" s="8">
        <v>14.2</v>
      </c>
    </row>
    <row r="4" spans="1:41" ht="15.75" x14ac:dyDescent="0.25">
      <c r="A4" s="1" t="s">
        <v>3</v>
      </c>
      <c r="B4" s="7">
        <v>22.416</v>
      </c>
      <c r="C4" s="8">
        <v>0.59999999999999432</v>
      </c>
      <c r="D4" s="8">
        <v>5.5</v>
      </c>
      <c r="E4" s="8">
        <v>1.7000000000000028</v>
      </c>
      <c r="F4" s="8">
        <v>4.7999999999999972</v>
      </c>
      <c r="G4" s="8">
        <v>8.2000000000000028</v>
      </c>
      <c r="H4" s="8">
        <v>5.5999999999999943</v>
      </c>
      <c r="I4" s="8">
        <v>6.2999999999999972</v>
      </c>
      <c r="J4" s="8">
        <v>1.2000000000000028</v>
      </c>
      <c r="K4" s="8">
        <v>8</v>
      </c>
      <c r="L4" s="8">
        <v>9.7999999999999972</v>
      </c>
      <c r="M4" s="8">
        <v>7</v>
      </c>
      <c r="N4" s="8">
        <v>14.099999999999994</v>
      </c>
      <c r="O4" s="8">
        <v>4.0999999999999996</v>
      </c>
      <c r="P4" s="8">
        <v>5.2</v>
      </c>
      <c r="Q4" s="8">
        <v>8.4</v>
      </c>
      <c r="R4" s="8">
        <v>9.6999999999999993</v>
      </c>
      <c r="S4" s="8">
        <v>3.7</v>
      </c>
      <c r="T4" s="8">
        <v>4.5</v>
      </c>
      <c r="U4" s="8">
        <v>5</v>
      </c>
      <c r="V4" s="8">
        <v>6.6</v>
      </c>
      <c r="W4" s="8">
        <v>7.6</v>
      </c>
      <c r="X4" s="8">
        <v>7.2</v>
      </c>
      <c r="Y4" s="8">
        <v>3.6</v>
      </c>
      <c r="Z4" s="8">
        <v>6.3</v>
      </c>
      <c r="AA4" s="8">
        <v>7.1</v>
      </c>
      <c r="AB4" s="8">
        <v>4.8</v>
      </c>
      <c r="AC4" s="8">
        <v>3.1</v>
      </c>
      <c r="AD4" s="8">
        <v>3.5</v>
      </c>
      <c r="AE4" s="8">
        <v>3.3</v>
      </c>
      <c r="AF4" s="8">
        <v>6.4</v>
      </c>
      <c r="AG4" s="8">
        <v>1.2</v>
      </c>
      <c r="AH4" s="8">
        <v>8.1999999999999993</v>
      </c>
      <c r="AI4" s="8">
        <v>7.7</v>
      </c>
      <c r="AJ4" s="8">
        <v>5.6</v>
      </c>
      <c r="AK4" s="8">
        <v>4.7</v>
      </c>
      <c r="AL4" s="8">
        <v>6</v>
      </c>
      <c r="AM4" s="8">
        <v>10.3</v>
      </c>
      <c r="AN4" s="8">
        <v>5.8</v>
      </c>
      <c r="AO4" s="8">
        <v>9.3000000000000007</v>
      </c>
    </row>
    <row r="5" spans="1:41" ht="15.75" x14ac:dyDescent="0.25">
      <c r="A5" s="1" t="s">
        <v>4</v>
      </c>
      <c r="B5" s="7">
        <v>10.907999999999999</v>
      </c>
      <c r="C5" s="8">
        <v>5.7000000000000028</v>
      </c>
      <c r="D5" s="8">
        <v>7.9000000000000057</v>
      </c>
      <c r="E5" s="8">
        <v>7.4000000000000057</v>
      </c>
      <c r="F5" s="8">
        <v>7.2999999999999972</v>
      </c>
      <c r="G5" s="8">
        <v>11.799999999999997</v>
      </c>
      <c r="H5" s="8">
        <v>9.0999999999999943</v>
      </c>
      <c r="I5" s="8">
        <v>10.299999999999997</v>
      </c>
      <c r="J5" s="8">
        <v>3.2000000000000028</v>
      </c>
      <c r="K5" s="8">
        <v>12.900000000000006</v>
      </c>
      <c r="L5" s="8">
        <v>14.799999999999997</v>
      </c>
      <c r="M5" s="8">
        <v>12.799999999999997</v>
      </c>
      <c r="N5" s="8">
        <v>21.700000000000003</v>
      </c>
      <c r="O5" s="8">
        <v>7.8</v>
      </c>
      <c r="P5" s="8">
        <v>8.1999999999999993</v>
      </c>
      <c r="Q5" s="8">
        <v>7.9</v>
      </c>
      <c r="R5" s="8">
        <v>6.8</v>
      </c>
      <c r="S5" s="8">
        <v>2</v>
      </c>
      <c r="T5" s="8">
        <v>3.6</v>
      </c>
      <c r="U5" s="8">
        <v>5.5</v>
      </c>
      <c r="V5" s="8">
        <v>7.9</v>
      </c>
      <c r="W5" s="8">
        <v>7.5</v>
      </c>
      <c r="X5" s="8">
        <v>8.3000000000000007</v>
      </c>
      <c r="Y5" s="8">
        <v>6.1</v>
      </c>
      <c r="Z5" s="8">
        <v>9.6999999999999993</v>
      </c>
      <c r="AA5" s="8">
        <v>6</v>
      </c>
      <c r="AB5" s="8">
        <v>5.7</v>
      </c>
      <c r="AC5" s="8">
        <v>6.6</v>
      </c>
      <c r="AD5" s="8">
        <v>11.2</v>
      </c>
      <c r="AE5" s="8">
        <v>9.1999999999999993</v>
      </c>
      <c r="AF5" s="8">
        <v>9.8000000000000007</v>
      </c>
      <c r="AG5" s="8">
        <v>5.0999999999999996</v>
      </c>
      <c r="AH5" s="8">
        <v>12</v>
      </c>
      <c r="AI5" s="8">
        <v>12.3</v>
      </c>
      <c r="AJ5" s="8">
        <v>12.9</v>
      </c>
      <c r="AK5" s="8">
        <v>10.1</v>
      </c>
      <c r="AL5" s="8">
        <v>5.2</v>
      </c>
      <c r="AM5" s="8">
        <v>6</v>
      </c>
      <c r="AN5" s="8">
        <v>6.6</v>
      </c>
      <c r="AO5" s="8">
        <v>7.5</v>
      </c>
    </row>
    <row r="6" spans="1:41" ht="15.75" x14ac:dyDescent="0.25">
      <c r="A6" s="1" t="s">
        <v>5</v>
      </c>
      <c r="B6" s="7">
        <v>11.311</v>
      </c>
      <c r="C6" s="8">
        <v>-4</v>
      </c>
      <c r="D6" s="8">
        <v>-1.2000000000000028</v>
      </c>
      <c r="E6" s="8">
        <v>-1.2000000000000028</v>
      </c>
      <c r="F6" s="8">
        <v>2.4000000000000057</v>
      </c>
      <c r="G6" s="8">
        <v>7.9000000000000057</v>
      </c>
      <c r="H6" s="8">
        <v>8.2999999999999972</v>
      </c>
      <c r="I6" s="8">
        <v>12.599999999999994</v>
      </c>
      <c r="J6" s="8">
        <v>-3.2999999999999972</v>
      </c>
      <c r="K6" s="8">
        <v>0.59999999999999432</v>
      </c>
      <c r="L6" s="8">
        <v>12.099999999999994</v>
      </c>
      <c r="M6" s="8">
        <v>12</v>
      </c>
      <c r="N6" s="8">
        <v>14.200000000000003</v>
      </c>
      <c r="O6" s="8">
        <v>10.6</v>
      </c>
      <c r="P6" s="8">
        <v>11.5</v>
      </c>
      <c r="Q6" s="8">
        <v>11</v>
      </c>
      <c r="R6" s="8">
        <v>10.5</v>
      </c>
      <c r="S6" s="8">
        <v>7</v>
      </c>
      <c r="T6" s="8">
        <v>10.9</v>
      </c>
      <c r="U6" s="8">
        <v>8.3000000000000007</v>
      </c>
      <c r="V6" s="8">
        <v>8.6</v>
      </c>
      <c r="W6" s="8">
        <v>8.6</v>
      </c>
      <c r="X6" s="8">
        <v>7.9</v>
      </c>
      <c r="Y6" s="8">
        <v>1.3</v>
      </c>
      <c r="Z6" s="8">
        <v>5.3</v>
      </c>
      <c r="AA6" s="8">
        <v>5.2</v>
      </c>
      <c r="AB6" s="8">
        <v>1.9</v>
      </c>
      <c r="AC6" s="8">
        <v>1.4</v>
      </c>
      <c r="AD6" s="8">
        <v>3.9</v>
      </c>
      <c r="AE6" s="8">
        <v>0.9</v>
      </c>
      <c r="AF6" s="8">
        <v>4.5999999999999996</v>
      </c>
      <c r="AG6" s="8">
        <v>-6</v>
      </c>
      <c r="AH6" s="8">
        <v>13</v>
      </c>
      <c r="AI6" s="8">
        <v>7.4</v>
      </c>
      <c r="AJ6" s="8">
        <v>-0.2</v>
      </c>
      <c r="AK6" s="8">
        <v>4.2</v>
      </c>
      <c r="AL6" s="8">
        <v>2.4</v>
      </c>
      <c r="AM6" s="8">
        <v>5.6</v>
      </c>
      <c r="AN6" s="8">
        <v>8</v>
      </c>
      <c r="AO6" s="8">
        <v>7.7</v>
      </c>
    </row>
    <row r="7" spans="1:41" ht="15.75" x14ac:dyDescent="0.25">
      <c r="A7" s="1" t="s">
        <v>6</v>
      </c>
      <c r="B7" s="7">
        <v>16.146999999999998</v>
      </c>
      <c r="C7" s="8">
        <v>0.59999999999999432</v>
      </c>
      <c r="D7" s="8">
        <v>8.4000000000000057</v>
      </c>
      <c r="E7" s="8">
        <v>6.9000000000000057</v>
      </c>
      <c r="F7" s="8">
        <v>5</v>
      </c>
      <c r="G7" s="8">
        <v>8.7000000000000028</v>
      </c>
      <c r="H7" s="8">
        <v>6.4000000000000057</v>
      </c>
      <c r="I7" s="8">
        <v>3.2999999999999972</v>
      </c>
      <c r="J7" s="8">
        <v>2.9000000000000057</v>
      </c>
      <c r="K7" s="8">
        <v>15.5</v>
      </c>
      <c r="L7" s="8">
        <v>10.599999999999994</v>
      </c>
      <c r="M7" s="8">
        <v>9.5999999999999943</v>
      </c>
      <c r="N7" s="8">
        <v>14.5</v>
      </c>
      <c r="O7" s="8">
        <v>5.0999999999999996</v>
      </c>
      <c r="P7" s="8">
        <v>2</v>
      </c>
      <c r="Q7" s="8">
        <v>5.0999999999999996</v>
      </c>
      <c r="R7" s="8">
        <v>3.4</v>
      </c>
      <c r="S7" s="8">
        <v>2.9</v>
      </c>
      <c r="T7" s="8">
        <v>4.0999999999999996</v>
      </c>
      <c r="U7" s="8">
        <v>8.8000000000000007</v>
      </c>
      <c r="V7" s="8">
        <v>4</v>
      </c>
      <c r="W7" s="8">
        <v>-0.5</v>
      </c>
      <c r="X7" s="8">
        <v>4.7</v>
      </c>
      <c r="Y7" s="8">
        <v>-0.5</v>
      </c>
      <c r="Z7" s="8">
        <v>4.8</v>
      </c>
      <c r="AA7" s="8">
        <v>3.3</v>
      </c>
      <c r="AB7" s="8">
        <v>3.3</v>
      </c>
      <c r="AC7" s="8">
        <v>-2</v>
      </c>
      <c r="AD7" s="8">
        <v>5.8</v>
      </c>
      <c r="AE7" s="8">
        <v>0.1</v>
      </c>
      <c r="AF7" s="8">
        <v>-0.5</v>
      </c>
      <c r="AG7" s="8">
        <v>-9.4</v>
      </c>
      <c r="AH7" s="8">
        <v>3.9</v>
      </c>
      <c r="AI7" s="8">
        <v>5.9</v>
      </c>
      <c r="AJ7" s="8">
        <v>-1.2</v>
      </c>
      <c r="AK7" s="8">
        <v>1.6</v>
      </c>
      <c r="AL7" s="8">
        <v>-0.6</v>
      </c>
      <c r="AM7" s="8">
        <v>0.2</v>
      </c>
      <c r="AN7" s="8">
        <v>-0.4</v>
      </c>
      <c r="AO7" s="8">
        <v>4.9000000000000004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441EA-496C-48D3-A855-712C37C26E65}">
  <dimension ref="A1:AO6"/>
  <sheetViews>
    <sheetView zoomScaleNormal="100" workbookViewId="0">
      <selection activeCell="L23" sqref="L23"/>
    </sheetView>
  </sheetViews>
  <sheetFormatPr defaultRowHeight="15" x14ac:dyDescent="0.25"/>
  <cols>
    <col min="1" max="1" width="31.140625" customWidth="1"/>
    <col min="2" max="2" width="13.5703125" customWidth="1"/>
  </cols>
  <sheetData>
    <row r="1" spans="1:41" ht="15.75" x14ac:dyDescent="0.25">
      <c r="A1" s="9" t="s">
        <v>7</v>
      </c>
      <c r="B1" s="9" t="s">
        <v>13</v>
      </c>
      <c r="C1" s="10">
        <v>45017</v>
      </c>
      <c r="D1" s="10">
        <v>45047</v>
      </c>
      <c r="E1" s="10">
        <v>45078</v>
      </c>
      <c r="F1" s="10">
        <v>45108</v>
      </c>
      <c r="G1" s="10">
        <v>45139</v>
      </c>
      <c r="H1" s="10">
        <v>45170</v>
      </c>
      <c r="I1" s="10">
        <v>45200</v>
      </c>
      <c r="J1" s="10">
        <v>45231</v>
      </c>
      <c r="K1" s="10">
        <v>45261</v>
      </c>
      <c r="L1" s="10">
        <v>45292</v>
      </c>
      <c r="M1" s="10">
        <v>45323</v>
      </c>
      <c r="N1" s="10">
        <v>45352</v>
      </c>
      <c r="O1" s="10">
        <v>45383</v>
      </c>
      <c r="P1" s="10">
        <v>45413</v>
      </c>
      <c r="Q1" s="10">
        <v>45444</v>
      </c>
      <c r="R1" s="10">
        <v>45474</v>
      </c>
      <c r="S1" s="10">
        <v>45505</v>
      </c>
      <c r="T1" s="5" t="e">
        <f t="shared" ref="T1" si="0">#REF!</f>
        <v>#REF!</v>
      </c>
      <c r="U1" s="5" t="e">
        <f t="shared" ref="U1" si="1">#REF!</f>
        <v>#REF!</v>
      </c>
      <c r="V1" s="5" t="e">
        <f t="shared" ref="V1" si="2">#REF!</f>
        <v>#REF!</v>
      </c>
      <c r="W1" s="5">
        <v>45627</v>
      </c>
      <c r="X1" s="5">
        <v>45658</v>
      </c>
      <c r="Y1" s="5">
        <v>45689</v>
      </c>
      <c r="Z1" s="5">
        <v>45717</v>
      </c>
      <c r="AA1" s="5">
        <v>45748</v>
      </c>
      <c r="AB1" s="5">
        <v>45778</v>
      </c>
      <c r="AC1" s="5">
        <v>45809</v>
      </c>
      <c r="AD1" s="5">
        <v>45839</v>
      </c>
      <c r="AE1" s="5">
        <v>45870</v>
      </c>
      <c r="AF1" s="5">
        <v>45901</v>
      </c>
      <c r="AG1" s="5">
        <v>45931</v>
      </c>
      <c r="AH1" s="5">
        <v>45962</v>
      </c>
      <c r="AI1" s="5">
        <v>45992</v>
      </c>
      <c r="AJ1" s="5">
        <v>46023</v>
      </c>
      <c r="AK1" s="5">
        <v>46054</v>
      </c>
      <c r="AL1" s="5">
        <v>46082</v>
      </c>
      <c r="AM1" s="5">
        <v>46113</v>
      </c>
      <c r="AN1" s="5">
        <v>46143</v>
      </c>
      <c r="AO1" s="5">
        <v>46174</v>
      </c>
    </row>
    <row r="2" spans="1:41" ht="15.75" x14ac:dyDescent="0.25">
      <c r="A2" s="16" t="s">
        <v>38</v>
      </c>
      <c r="B2" s="11">
        <v>11.053000000000001</v>
      </c>
      <c r="C2" s="12">
        <v>-2.5999999999999943</v>
      </c>
      <c r="D2" s="12">
        <v>0.70000000000000284</v>
      </c>
      <c r="E2" s="12">
        <v>-9.9999999999994316E-2</v>
      </c>
      <c r="F2" s="12">
        <v>-17.200000000000003</v>
      </c>
      <c r="G2" s="12">
        <v>-17.5</v>
      </c>
      <c r="H2" s="12">
        <v>-17</v>
      </c>
      <c r="I2" s="12">
        <v>1.5999999999999943</v>
      </c>
      <c r="J2" s="12">
        <v>-0.40000000000000568</v>
      </c>
      <c r="K2" s="12">
        <v>12.5</v>
      </c>
      <c r="L2" s="12">
        <v>17.299999999999997</v>
      </c>
      <c r="M2" s="12">
        <v>16.900000000000006</v>
      </c>
      <c r="N2" s="12">
        <v>32</v>
      </c>
      <c r="O2" s="12">
        <v>12.5</v>
      </c>
      <c r="P2" s="12">
        <v>7.6</v>
      </c>
      <c r="Q2" s="12">
        <v>4.7</v>
      </c>
      <c r="R2" s="12">
        <v>4</v>
      </c>
      <c r="S2" s="12">
        <v>-5</v>
      </c>
      <c r="T2" s="12">
        <v>0.4</v>
      </c>
      <c r="U2" s="12">
        <v>1.4</v>
      </c>
      <c r="V2" s="12">
        <v>3.9</v>
      </c>
      <c r="W2" s="12">
        <v>3.9</v>
      </c>
      <c r="X2" s="12">
        <v>3.3</v>
      </c>
      <c r="Y2" s="12">
        <v>0.5</v>
      </c>
      <c r="Z2" s="12">
        <v>-2.5</v>
      </c>
      <c r="AA2" s="12">
        <v>0.6</v>
      </c>
      <c r="AB2" s="12">
        <v>5.8</v>
      </c>
      <c r="AC2" s="12">
        <v>4.0999999999999996</v>
      </c>
      <c r="AD2" s="12">
        <v>10.7</v>
      </c>
      <c r="AE2" s="12">
        <v>15.8</v>
      </c>
      <c r="AF2" s="12">
        <v>15.7</v>
      </c>
      <c r="AG2" s="12">
        <v>2.8</v>
      </c>
      <c r="AH2" s="12">
        <v>3.3</v>
      </c>
      <c r="AI2" s="12">
        <v>0.8</v>
      </c>
      <c r="AJ2" s="12">
        <v>-0.5</v>
      </c>
      <c r="AK2" s="12">
        <v>-2.4</v>
      </c>
      <c r="AL2" s="12">
        <v>-2.6</v>
      </c>
      <c r="AM2" s="12">
        <v>-3.8</v>
      </c>
      <c r="AN2" s="12">
        <v>-1.4</v>
      </c>
      <c r="AO2" s="12">
        <v>1</v>
      </c>
    </row>
    <row r="3" spans="1:41" ht="15.75" x14ac:dyDescent="0.25">
      <c r="A3" s="17" t="s">
        <v>8</v>
      </c>
      <c r="B3" s="14">
        <v>76.061999999999998</v>
      </c>
      <c r="C3" s="12">
        <v>9.9999999999994316E-2</v>
      </c>
      <c r="D3" s="12">
        <v>5.2000000000000028</v>
      </c>
      <c r="E3" s="12">
        <v>4.2000000000000028</v>
      </c>
      <c r="F3" s="12">
        <v>4.7000000000000028</v>
      </c>
      <c r="G3" s="12">
        <v>8.5</v>
      </c>
      <c r="H3" s="12">
        <v>6.9000000000000057</v>
      </c>
      <c r="I3" s="12">
        <v>6.5</v>
      </c>
      <c r="J3" s="12">
        <v>1.5</v>
      </c>
      <c r="K3" s="12">
        <v>9.5999999999999943</v>
      </c>
      <c r="L3" s="12">
        <v>10.5</v>
      </c>
      <c r="M3" s="12">
        <v>9.4000000000000057</v>
      </c>
      <c r="N3" s="12">
        <v>18.099999999999994</v>
      </c>
      <c r="O3" s="12">
        <v>5.7</v>
      </c>
      <c r="P3" s="12">
        <v>6</v>
      </c>
      <c r="Q3" s="12">
        <v>7.2</v>
      </c>
      <c r="R3" s="12">
        <v>7.8</v>
      </c>
      <c r="S3" s="12">
        <v>3.4</v>
      </c>
      <c r="T3" s="12">
        <v>5.5</v>
      </c>
      <c r="U3" s="12">
        <v>6.4</v>
      </c>
      <c r="V3" s="12">
        <v>6.2</v>
      </c>
      <c r="W3" s="12">
        <v>6.4</v>
      </c>
      <c r="X3" s="12">
        <v>7.2</v>
      </c>
      <c r="Y3" s="12">
        <v>3.1</v>
      </c>
      <c r="Z3" s="12">
        <v>7</v>
      </c>
      <c r="AA3" s="12">
        <v>5.8</v>
      </c>
      <c r="AB3" s="12">
        <v>4.2</v>
      </c>
      <c r="AC3" s="12">
        <v>2.4</v>
      </c>
      <c r="AD3" s="12">
        <v>5.0999999999999996</v>
      </c>
      <c r="AE3" s="12">
        <v>3.6</v>
      </c>
      <c r="AF3" s="12">
        <v>5.5</v>
      </c>
      <c r="AG3" s="12">
        <v>-0.7</v>
      </c>
      <c r="AH3" s="12">
        <v>8.8000000000000007</v>
      </c>
      <c r="AI3" s="12">
        <v>7.7</v>
      </c>
      <c r="AJ3" s="12">
        <v>4.5999999999999996</v>
      </c>
      <c r="AK3" s="12">
        <v>5.7</v>
      </c>
      <c r="AL3" s="12">
        <v>4</v>
      </c>
      <c r="AM3" s="12">
        <v>6.1</v>
      </c>
      <c r="AN3" s="12">
        <v>5.2</v>
      </c>
      <c r="AO3" s="12">
        <v>7.8</v>
      </c>
    </row>
    <row r="4" spans="1:41" ht="15.75" x14ac:dyDescent="0.25">
      <c r="A4" s="18" t="s">
        <v>40</v>
      </c>
      <c r="B4" s="14">
        <v>10.865</v>
      </c>
      <c r="C4" s="12">
        <v>3.7999999999999972</v>
      </c>
      <c r="D4" s="12">
        <v>9.0999999999999943</v>
      </c>
      <c r="E4" s="12">
        <v>10.400000000000006</v>
      </c>
      <c r="F4" s="12">
        <v>10</v>
      </c>
      <c r="G4" s="12">
        <v>19</v>
      </c>
      <c r="H4" s="12">
        <v>11.099999999999994</v>
      </c>
      <c r="I4" s="12">
        <v>10.299999999999997</v>
      </c>
      <c r="J4" s="12">
        <v>-4</v>
      </c>
      <c r="K4" s="12">
        <v>-1.0999999999999943</v>
      </c>
      <c r="L4" s="12">
        <v>7.2000000000000028</v>
      </c>
      <c r="M4" s="12">
        <v>1.9000000000000057</v>
      </c>
      <c r="N4" s="12">
        <v>11</v>
      </c>
      <c r="O4" s="12">
        <v>9.9</v>
      </c>
      <c r="P4" s="12">
        <v>13.9</v>
      </c>
      <c r="Q4" s="12">
        <v>9.4</v>
      </c>
      <c r="R4" s="12">
        <v>9</v>
      </c>
      <c r="S4" s="12">
        <v>-3.4</v>
      </c>
      <c r="T4" s="12">
        <v>0.7</v>
      </c>
      <c r="U4" s="12">
        <v>3</v>
      </c>
      <c r="V4" s="12">
        <v>4.5</v>
      </c>
      <c r="W4" s="12">
        <v>6.1</v>
      </c>
      <c r="X4" s="12">
        <v>1.6</v>
      </c>
      <c r="Y4" s="12">
        <v>3</v>
      </c>
      <c r="Z4" s="12">
        <v>6.1</v>
      </c>
      <c r="AA4" s="12">
        <v>1.9</v>
      </c>
      <c r="AB4" s="12">
        <v>-5.0999999999999996</v>
      </c>
      <c r="AC4" s="12">
        <v>-2</v>
      </c>
      <c r="AD4" s="12">
        <v>2.4</v>
      </c>
      <c r="AE4" s="12">
        <v>3.7</v>
      </c>
      <c r="AF4" s="12">
        <v>3.3</v>
      </c>
      <c r="AG4" s="12">
        <v>-7</v>
      </c>
      <c r="AH4" s="12">
        <v>-1.6</v>
      </c>
      <c r="AI4" s="12">
        <v>5.9</v>
      </c>
      <c r="AJ4" s="12">
        <v>5.6</v>
      </c>
      <c r="AK4" s="12">
        <v>1.9</v>
      </c>
      <c r="AL4" s="12">
        <v>1.2</v>
      </c>
      <c r="AM4" s="12">
        <v>4.5999999999999996</v>
      </c>
      <c r="AN4" s="12">
        <v>10.3</v>
      </c>
      <c r="AO4" s="12">
        <v>10.6</v>
      </c>
    </row>
    <row r="5" spans="1:41" ht="15.75" x14ac:dyDescent="0.25">
      <c r="A5" s="18" t="s">
        <v>41</v>
      </c>
      <c r="B5" s="11">
        <v>2.02</v>
      </c>
      <c r="C5" s="12">
        <v>9.5999999999999943</v>
      </c>
      <c r="D5" s="12">
        <v>11</v>
      </c>
      <c r="E5" s="12">
        <v>13.099999999999994</v>
      </c>
      <c r="F5" s="12">
        <v>13.700000000000003</v>
      </c>
      <c r="G5" s="12">
        <v>15.700000000000003</v>
      </c>
      <c r="H5" s="12">
        <v>17</v>
      </c>
      <c r="I5" s="12">
        <v>18.599999999999994</v>
      </c>
      <c r="J5" s="12">
        <v>20.5</v>
      </c>
      <c r="K5" s="12">
        <v>21.299999999999997</v>
      </c>
      <c r="L5" s="12">
        <v>22.700000000000003</v>
      </c>
      <c r="M5" s="12">
        <v>23.700000000000003</v>
      </c>
      <c r="N5" s="12">
        <v>26.200000000000003</v>
      </c>
      <c r="O5" s="12">
        <v>15.6</v>
      </c>
      <c r="P5" s="12">
        <v>14.2</v>
      </c>
      <c r="Q5" s="12">
        <v>12.5</v>
      </c>
      <c r="R5" s="12">
        <v>13.1</v>
      </c>
      <c r="S5" s="12">
        <v>12.2</v>
      </c>
      <c r="T5" s="12">
        <v>11.4</v>
      </c>
      <c r="U5" s="12">
        <v>12.3</v>
      </c>
      <c r="V5" s="12">
        <v>11.8</v>
      </c>
      <c r="W5" s="12">
        <v>11.6</v>
      </c>
      <c r="X5" s="12">
        <v>10.7</v>
      </c>
      <c r="Y5" s="12">
        <v>9.8000000000000007</v>
      </c>
      <c r="Z5" s="12">
        <v>9</v>
      </c>
      <c r="AA5" s="12">
        <v>8.1999999999999993</v>
      </c>
      <c r="AB5" s="12">
        <v>8.5</v>
      </c>
      <c r="AC5" s="12">
        <v>7.9</v>
      </c>
      <c r="AD5" s="12">
        <v>7.5</v>
      </c>
      <c r="AE5" s="12">
        <v>6.9</v>
      </c>
      <c r="AF5" s="12">
        <v>6.2</v>
      </c>
      <c r="AG5" s="12">
        <v>6</v>
      </c>
      <c r="AH5" s="12">
        <v>4.3</v>
      </c>
      <c r="AI5" s="12">
        <v>4.4000000000000004</v>
      </c>
      <c r="AJ5" s="12">
        <v>5.0999999999999996</v>
      </c>
      <c r="AK5" s="12">
        <v>5.6</v>
      </c>
      <c r="AL5" s="12">
        <v>6.4</v>
      </c>
      <c r="AM5" s="12">
        <v>6.6</v>
      </c>
      <c r="AN5" s="12">
        <v>5.5</v>
      </c>
      <c r="AO5" s="12">
        <v>6.1</v>
      </c>
    </row>
    <row r="6" spans="1:41" ht="15.75" x14ac:dyDescent="0.25">
      <c r="A6" s="17" t="s">
        <v>9</v>
      </c>
      <c r="B6" s="11">
        <v>100</v>
      </c>
      <c r="C6" s="12">
        <v>0.40000000000000568</v>
      </c>
      <c r="D6" s="12">
        <v>5.2000000000000028</v>
      </c>
      <c r="E6" s="12">
        <v>4.5999999999999943</v>
      </c>
      <c r="F6" s="12">
        <v>3</v>
      </c>
      <c r="G6" s="12">
        <v>6.9000000000000057</v>
      </c>
      <c r="H6" s="12">
        <v>4.9000000000000057</v>
      </c>
      <c r="I6" s="12">
        <v>6.5999999999999943</v>
      </c>
      <c r="J6" s="12">
        <v>1.0999999999999943</v>
      </c>
      <c r="K6" s="12">
        <v>9</v>
      </c>
      <c r="L6" s="12">
        <v>11.099999999999994</v>
      </c>
      <c r="M6" s="12">
        <v>9.7000000000000028</v>
      </c>
      <c r="N6" s="12">
        <v>19</v>
      </c>
      <c r="O6" s="12">
        <v>7.1</v>
      </c>
      <c r="P6" s="12">
        <v>7.3</v>
      </c>
      <c r="Q6" s="12">
        <v>7.3</v>
      </c>
      <c r="R6" s="12">
        <v>7.8</v>
      </c>
      <c r="S6" s="12">
        <v>2.1</v>
      </c>
      <c r="T6" s="12">
        <v>4.7</v>
      </c>
      <c r="U6" s="12">
        <v>5.6</v>
      </c>
      <c r="V6" s="12">
        <v>5.9</v>
      </c>
      <c r="W6" s="12">
        <v>6.1</v>
      </c>
      <c r="X6" s="12">
        <v>6.3</v>
      </c>
      <c r="Y6" s="12">
        <v>2.9</v>
      </c>
      <c r="Z6" s="12">
        <v>5.8</v>
      </c>
      <c r="AA6" s="12">
        <v>4.8</v>
      </c>
      <c r="AB6" s="12">
        <v>3.4</v>
      </c>
      <c r="AC6" s="12">
        <v>2.2000000000000002</v>
      </c>
      <c r="AD6" s="12">
        <v>5.4</v>
      </c>
      <c r="AE6" s="12">
        <v>4.7</v>
      </c>
      <c r="AF6" s="12">
        <v>6.1</v>
      </c>
      <c r="AG6" s="12">
        <v>-0.9</v>
      </c>
      <c r="AH6" s="12">
        <v>7</v>
      </c>
      <c r="AI6" s="12">
        <v>6.7</v>
      </c>
      <c r="AJ6" s="12">
        <v>4.0999999999999996</v>
      </c>
      <c r="AK6" s="12">
        <v>4.4000000000000004</v>
      </c>
      <c r="AL6" s="12">
        <v>3</v>
      </c>
      <c r="AM6" s="12">
        <v>4.9000000000000004</v>
      </c>
      <c r="AN6" s="12">
        <v>5</v>
      </c>
      <c r="AO6" s="12">
        <v>7.3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7D250-C2D0-460B-9CD3-11026FAE72E5}">
  <dimension ref="A1:E7"/>
  <sheetViews>
    <sheetView workbookViewId="0">
      <selection activeCell="C2" sqref="C2:E7"/>
    </sheetView>
  </sheetViews>
  <sheetFormatPr defaultRowHeight="15" x14ac:dyDescent="0.25"/>
  <cols>
    <col min="1" max="1" width="33.28515625" bestFit="1" customWidth="1"/>
    <col min="2" max="2" width="16.42578125" customWidth="1"/>
  </cols>
  <sheetData>
    <row r="1" spans="1:5" ht="15.75" x14ac:dyDescent="0.25">
      <c r="A1" s="4" t="s">
        <v>10</v>
      </c>
      <c r="B1" s="4" t="s">
        <v>0</v>
      </c>
      <c r="C1" s="4" t="s">
        <v>11</v>
      </c>
      <c r="D1" s="6" t="s">
        <v>12</v>
      </c>
      <c r="E1" s="6" t="s">
        <v>36</v>
      </c>
    </row>
    <row r="2" spans="1:5" ht="15.75" x14ac:dyDescent="0.25">
      <c r="A2" s="1" t="s">
        <v>1</v>
      </c>
      <c r="B2" s="7">
        <v>31.135999999999999</v>
      </c>
      <c r="C2" s="19">
        <v>5.4</v>
      </c>
      <c r="D2" s="20">
        <v>4.7</v>
      </c>
      <c r="E2" s="20">
        <v>2.2999999999999998</v>
      </c>
    </row>
    <row r="3" spans="1:5" ht="15.75" x14ac:dyDescent="0.25">
      <c r="A3" s="1" t="s">
        <v>2</v>
      </c>
      <c r="B3" s="7">
        <v>8.0820000000000007</v>
      </c>
      <c r="C3" s="19">
        <v>10.1</v>
      </c>
      <c r="D3" s="20">
        <v>7.9</v>
      </c>
      <c r="E3" s="20">
        <v>10.4</v>
      </c>
    </row>
    <row r="4" spans="1:5" ht="15.75" x14ac:dyDescent="0.25">
      <c r="A4" s="1" t="s">
        <v>3</v>
      </c>
      <c r="B4" s="7">
        <v>22.416</v>
      </c>
      <c r="C4" s="19">
        <v>6.1</v>
      </c>
      <c r="D4" s="20">
        <v>5.9</v>
      </c>
      <c r="E4" s="20">
        <v>5.2</v>
      </c>
    </row>
    <row r="5" spans="1:5" ht="15.75" x14ac:dyDescent="0.25">
      <c r="A5" s="1" t="s">
        <v>4</v>
      </c>
      <c r="B5" s="7">
        <v>10.907999999999999</v>
      </c>
      <c r="C5" s="19">
        <v>10.4</v>
      </c>
      <c r="D5" s="20">
        <v>6.8</v>
      </c>
      <c r="E5" s="20">
        <v>8.8000000000000007</v>
      </c>
    </row>
    <row r="6" spans="1:5" ht="15.75" x14ac:dyDescent="0.25">
      <c r="A6" s="1" t="s">
        <v>5</v>
      </c>
      <c r="B6" s="7">
        <v>11.311</v>
      </c>
      <c r="C6" s="19">
        <v>5</v>
      </c>
      <c r="D6" s="20">
        <v>8.4</v>
      </c>
      <c r="E6" s="20">
        <v>3.1</v>
      </c>
    </row>
    <row r="7" spans="1:5" ht="15.75" x14ac:dyDescent="0.25">
      <c r="A7" s="1" t="s">
        <v>6</v>
      </c>
      <c r="B7" s="7">
        <v>16.146999999999998</v>
      </c>
      <c r="C7" s="19">
        <v>7.7</v>
      </c>
      <c r="D7" s="20">
        <v>3.6</v>
      </c>
      <c r="E7" s="20">
        <v>0.8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35326-6BFB-4FFA-98DD-40CACE626FC4}">
  <dimension ref="A1:E6"/>
  <sheetViews>
    <sheetView zoomScaleNormal="100" workbookViewId="0">
      <selection activeCell="E6" sqref="E6"/>
    </sheetView>
  </sheetViews>
  <sheetFormatPr defaultRowHeight="15" x14ac:dyDescent="0.25"/>
  <cols>
    <col min="1" max="1" width="46.7109375" bestFit="1" customWidth="1"/>
    <col min="2" max="2" width="17.140625" customWidth="1"/>
  </cols>
  <sheetData>
    <row r="1" spans="1:5" ht="15.75" x14ac:dyDescent="0.25">
      <c r="A1" s="9" t="s">
        <v>7</v>
      </c>
      <c r="B1" s="9" t="s">
        <v>13</v>
      </c>
      <c r="C1" s="23" t="s">
        <v>11</v>
      </c>
      <c r="D1" s="23" t="s">
        <v>12</v>
      </c>
      <c r="E1" s="23" t="s">
        <v>36</v>
      </c>
    </row>
    <row r="2" spans="1:5" ht="15.75" x14ac:dyDescent="0.25">
      <c r="A2" s="16" t="s">
        <v>38</v>
      </c>
      <c r="B2" s="11">
        <v>11.053000000000001</v>
      </c>
      <c r="C2" s="21">
        <v>2.2000000000000002</v>
      </c>
      <c r="D2" s="22">
        <v>2.8</v>
      </c>
      <c r="E2" s="22">
        <v>3.7</v>
      </c>
    </row>
    <row r="3" spans="1:5" ht="15.75" x14ac:dyDescent="0.25">
      <c r="A3" s="17" t="s">
        <v>8</v>
      </c>
      <c r="B3" s="14">
        <v>76.061999999999998</v>
      </c>
      <c r="C3" s="21">
        <v>7.1</v>
      </c>
      <c r="D3" s="22">
        <v>6</v>
      </c>
      <c r="E3" s="22">
        <v>4.8</v>
      </c>
    </row>
    <row r="4" spans="1:5" ht="15.75" x14ac:dyDescent="0.25">
      <c r="A4" s="18" t="s">
        <v>40</v>
      </c>
      <c r="B4" s="14">
        <v>10.865</v>
      </c>
      <c r="C4" s="21">
        <v>7.4</v>
      </c>
      <c r="D4" s="22">
        <v>5.2</v>
      </c>
      <c r="E4" s="22">
        <v>0.8</v>
      </c>
    </row>
    <row r="5" spans="1:5" ht="15.75" x14ac:dyDescent="0.25">
      <c r="A5" s="18" t="s">
        <v>41</v>
      </c>
      <c r="B5" s="11">
        <v>2.02</v>
      </c>
      <c r="C5" s="21">
        <v>17.8</v>
      </c>
      <c r="D5" s="22">
        <v>11.9</v>
      </c>
      <c r="E5" s="22">
        <v>6.4</v>
      </c>
    </row>
    <row r="6" spans="1:5" ht="15.75" x14ac:dyDescent="0.25">
      <c r="A6" s="17" t="s">
        <v>9</v>
      </c>
      <c r="B6" s="11">
        <v>100</v>
      </c>
      <c r="C6" s="21">
        <v>6.8</v>
      </c>
      <c r="D6" s="22">
        <v>5.7</v>
      </c>
      <c r="E6" s="22">
        <v>4.3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0508C-9962-4FCF-9EDD-09FF9FE23496}">
  <dimension ref="A1:C38"/>
  <sheetViews>
    <sheetView topLeftCell="A25" workbookViewId="0">
      <selection activeCell="H17" sqref="H17"/>
    </sheetView>
  </sheetViews>
  <sheetFormatPr defaultRowHeight="15" x14ac:dyDescent="0.25"/>
  <cols>
    <col min="1" max="1" width="9.42578125" bestFit="1" customWidth="1"/>
    <col min="2" max="2" width="64" customWidth="1"/>
    <col min="3" max="3" width="22" customWidth="1"/>
  </cols>
  <sheetData>
    <row r="1" spans="1:3" ht="15.75" x14ac:dyDescent="0.25">
      <c r="A1" s="9" t="s">
        <v>37</v>
      </c>
      <c r="B1" s="9" t="s">
        <v>7</v>
      </c>
      <c r="C1" s="9" t="s">
        <v>13</v>
      </c>
    </row>
    <row r="2" spans="1:3" ht="15.75" x14ac:dyDescent="0.25">
      <c r="A2" s="26" t="s">
        <v>42</v>
      </c>
      <c r="B2" s="27" t="s">
        <v>43</v>
      </c>
      <c r="C2" s="11">
        <v>5.6470000000000002</v>
      </c>
    </row>
    <row r="3" spans="1:3" ht="15.75" x14ac:dyDescent="0.25">
      <c r="A3" s="26" t="s">
        <v>44</v>
      </c>
      <c r="B3" s="27" t="s">
        <v>45</v>
      </c>
      <c r="C3" s="11">
        <v>1.9950000000000001</v>
      </c>
    </row>
    <row r="4" spans="1:3" ht="15.75" x14ac:dyDescent="0.25">
      <c r="A4" s="26" t="s">
        <v>46</v>
      </c>
      <c r="B4" s="27" t="s">
        <v>47</v>
      </c>
      <c r="C4" s="11">
        <v>3.411</v>
      </c>
    </row>
    <row r="5" spans="1:3" ht="15.75" x14ac:dyDescent="0.25">
      <c r="A5" s="29" t="s">
        <v>38</v>
      </c>
      <c r="B5" s="30"/>
      <c r="C5" s="11">
        <v>11.053000000000001</v>
      </c>
    </row>
    <row r="6" spans="1:3" ht="15.75" x14ac:dyDescent="0.25">
      <c r="A6" s="13">
        <v>10</v>
      </c>
      <c r="B6" s="24" t="s">
        <v>14</v>
      </c>
      <c r="C6" s="14">
        <v>5.6790000000000003</v>
      </c>
    </row>
    <row r="7" spans="1:3" ht="15.75" x14ac:dyDescent="0.25">
      <c r="A7" s="13">
        <v>11</v>
      </c>
      <c r="B7" s="24" t="s">
        <v>15</v>
      </c>
      <c r="C7" s="14">
        <v>1.113</v>
      </c>
    </row>
    <row r="8" spans="1:3" ht="15.75" x14ac:dyDescent="0.25">
      <c r="A8" s="13">
        <v>12</v>
      </c>
      <c r="B8" s="24" t="s">
        <v>16</v>
      </c>
      <c r="C8" s="14">
        <v>0.77400000000000002</v>
      </c>
    </row>
    <row r="9" spans="1:3" ht="15.75" x14ac:dyDescent="0.25">
      <c r="A9" s="13">
        <v>13</v>
      </c>
      <c r="B9" s="24" t="s">
        <v>17</v>
      </c>
      <c r="C9" s="14">
        <v>3.2749999999999999</v>
      </c>
    </row>
    <row r="10" spans="1:3" ht="15.75" x14ac:dyDescent="0.25">
      <c r="A10" s="13">
        <v>14</v>
      </c>
      <c r="B10" s="24" t="s">
        <v>18</v>
      </c>
      <c r="C10" s="14">
        <v>1.97</v>
      </c>
    </row>
    <row r="11" spans="1:3" ht="15.75" x14ac:dyDescent="0.25">
      <c r="A11" s="13">
        <v>15</v>
      </c>
      <c r="B11" s="24" t="s">
        <v>19</v>
      </c>
      <c r="C11" s="14">
        <v>0.60699999999999998</v>
      </c>
    </row>
    <row r="12" spans="1:3" ht="31.5" x14ac:dyDescent="0.25">
      <c r="A12" s="15">
        <v>16</v>
      </c>
      <c r="B12" s="25" t="s">
        <v>20</v>
      </c>
      <c r="C12" s="14">
        <v>0.23899999999999999</v>
      </c>
    </row>
    <row r="13" spans="1:3" ht="15.75" x14ac:dyDescent="0.25">
      <c r="A13" s="13">
        <v>17</v>
      </c>
      <c r="B13" s="24" t="s">
        <v>21</v>
      </c>
      <c r="C13" s="14">
        <v>1.375</v>
      </c>
    </row>
    <row r="14" spans="1:3" ht="15.75" x14ac:dyDescent="0.25">
      <c r="A14" s="13">
        <v>18</v>
      </c>
      <c r="B14" s="24" t="s">
        <v>22</v>
      </c>
      <c r="C14" s="14">
        <v>0.50600000000000001</v>
      </c>
    </row>
    <row r="15" spans="1:3" ht="15.75" x14ac:dyDescent="0.25">
      <c r="A15" s="13">
        <v>19</v>
      </c>
      <c r="B15" s="24" t="s">
        <v>23</v>
      </c>
      <c r="C15" s="14">
        <v>7.7210000000000001</v>
      </c>
    </row>
    <row r="16" spans="1:3" ht="15.75" x14ac:dyDescent="0.25">
      <c r="A16" s="13">
        <v>20</v>
      </c>
      <c r="B16" s="24" t="s">
        <v>24</v>
      </c>
      <c r="C16" s="14">
        <v>7.8129999999999997</v>
      </c>
    </row>
    <row r="17" spans="1:3" ht="31.5" x14ac:dyDescent="0.25">
      <c r="A17" s="15">
        <v>21</v>
      </c>
      <c r="B17" s="25" t="s">
        <v>39</v>
      </c>
      <c r="C17" s="14">
        <v>5.8330000000000002</v>
      </c>
    </row>
    <row r="18" spans="1:3" ht="15.75" x14ac:dyDescent="0.25">
      <c r="A18" s="13">
        <v>22</v>
      </c>
      <c r="B18" s="24" t="s">
        <v>25</v>
      </c>
      <c r="C18" s="14">
        <v>3.3839999999999999</v>
      </c>
    </row>
    <row r="19" spans="1:3" ht="15.75" x14ac:dyDescent="0.25">
      <c r="A19" s="13">
        <v>23</v>
      </c>
      <c r="B19" s="24" t="s">
        <v>26</v>
      </c>
      <c r="C19" s="14">
        <v>3.5190000000000001</v>
      </c>
    </row>
    <row r="20" spans="1:3" ht="15.75" x14ac:dyDescent="0.25">
      <c r="A20" s="13">
        <v>24</v>
      </c>
      <c r="B20" s="24" t="s">
        <v>27</v>
      </c>
      <c r="C20" s="14">
        <v>9.1980000000000004</v>
      </c>
    </row>
    <row r="21" spans="1:3" ht="31.5" x14ac:dyDescent="0.25">
      <c r="A21" s="15">
        <v>25</v>
      </c>
      <c r="B21" s="25" t="s">
        <v>28</v>
      </c>
      <c r="C21" s="14">
        <v>2.4809999999999999</v>
      </c>
    </row>
    <row r="22" spans="1:3" ht="15.75" x14ac:dyDescent="0.25">
      <c r="A22" s="15">
        <v>26</v>
      </c>
      <c r="B22" s="25" t="s">
        <v>29</v>
      </c>
      <c r="C22" s="14">
        <v>2.085</v>
      </c>
    </row>
    <row r="23" spans="1:3" ht="15.75" x14ac:dyDescent="0.25">
      <c r="A23" s="13">
        <v>27</v>
      </c>
      <c r="B23" s="24" t="s">
        <v>30</v>
      </c>
      <c r="C23" s="14">
        <v>3.1749999999999998</v>
      </c>
    </row>
    <row r="24" spans="1:3" ht="15.75" x14ac:dyDescent="0.25">
      <c r="A24" s="13">
        <v>28</v>
      </c>
      <c r="B24" s="24" t="s">
        <v>31</v>
      </c>
      <c r="C24" s="14">
        <v>5.0199999999999996</v>
      </c>
    </row>
    <row r="25" spans="1:3" ht="15.75" x14ac:dyDescent="0.25">
      <c r="A25" s="15">
        <v>29</v>
      </c>
      <c r="B25" s="25" t="s">
        <v>32</v>
      </c>
      <c r="C25" s="14">
        <v>6.4169999999999998</v>
      </c>
    </row>
    <row r="26" spans="1:3" ht="15.75" x14ac:dyDescent="0.25">
      <c r="A26" s="13">
        <v>30</v>
      </c>
      <c r="B26" s="24" t="s">
        <v>33</v>
      </c>
      <c r="C26" s="14">
        <v>2.089</v>
      </c>
    </row>
    <row r="27" spans="1:3" ht="15.75" x14ac:dyDescent="0.25">
      <c r="A27" s="13">
        <v>31</v>
      </c>
      <c r="B27" s="24" t="s">
        <v>34</v>
      </c>
      <c r="C27" s="14">
        <v>0.28299999999999997</v>
      </c>
    </row>
    <row r="28" spans="1:3" ht="15.75" x14ac:dyDescent="0.25">
      <c r="A28" s="13">
        <v>32</v>
      </c>
      <c r="B28" s="24" t="s">
        <v>35</v>
      </c>
      <c r="C28" s="14">
        <v>1.5089999999999999</v>
      </c>
    </row>
    <row r="29" spans="1:3" ht="15.75" x14ac:dyDescent="0.25">
      <c r="A29" s="31" t="s">
        <v>8</v>
      </c>
      <c r="B29" s="31"/>
      <c r="C29" s="14">
        <v>76.061999999999998</v>
      </c>
    </row>
    <row r="30" spans="1:3" ht="15.75" x14ac:dyDescent="0.25">
      <c r="A30" s="28">
        <v>3512</v>
      </c>
      <c r="B30" s="27" t="s">
        <v>48</v>
      </c>
      <c r="C30" s="14">
        <v>1.629</v>
      </c>
    </row>
    <row r="31" spans="1:3" ht="15.75" x14ac:dyDescent="0.25">
      <c r="A31" s="28">
        <v>3511</v>
      </c>
      <c r="B31" s="27" t="s">
        <v>49</v>
      </c>
      <c r="C31" s="14">
        <v>8.5419999999999998</v>
      </c>
    </row>
    <row r="32" spans="1:3" ht="15.75" x14ac:dyDescent="0.25">
      <c r="A32" s="28">
        <v>351</v>
      </c>
      <c r="B32" s="27" t="s">
        <v>50</v>
      </c>
      <c r="C32" s="14">
        <v>10.170999999999999</v>
      </c>
    </row>
    <row r="33" spans="1:3" ht="15.75" x14ac:dyDescent="0.25">
      <c r="A33" s="28">
        <v>3512</v>
      </c>
      <c r="B33" s="27" t="s">
        <v>51</v>
      </c>
      <c r="C33" s="14">
        <v>0.69399999999999995</v>
      </c>
    </row>
    <row r="34" spans="1:3" ht="15.75" x14ac:dyDescent="0.25">
      <c r="A34" s="32" t="s">
        <v>40</v>
      </c>
      <c r="B34" s="33"/>
      <c r="C34" s="14">
        <v>10.865</v>
      </c>
    </row>
    <row r="35" spans="1:3" ht="15.75" x14ac:dyDescent="0.25">
      <c r="A35" s="28">
        <v>36</v>
      </c>
      <c r="B35" s="27" t="s">
        <v>52</v>
      </c>
      <c r="C35" s="11">
        <v>1.0589999999999999</v>
      </c>
    </row>
    <row r="36" spans="1:3" ht="15.75" x14ac:dyDescent="0.25">
      <c r="A36" s="28" t="s">
        <v>53</v>
      </c>
      <c r="B36" s="27" t="s">
        <v>54</v>
      </c>
      <c r="C36" s="11">
        <v>0.96099999999999997</v>
      </c>
    </row>
    <row r="37" spans="1:3" ht="15.75" x14ac:dyDescent="0.25">
      <c r="A37" s="32" t="s">
        <v>41</v>
      </c>
      <c r="B37" s="33"/>
      <c r="C37" s="11">
        <v>2.02</v>
      </c>
    </row>
    <row r="38" spans="1:3" ht="15.75" x14ac:dyDescent="0.25">
      <c r="A38" s="31" t="s">
        <v>9</v>
      </c>
      <c r="B38" s="31"/>
      <c r="C38" s="11">
        <v>100</v>
      </c>
    </row>
  </sheetData>
  <mergeCells count="5">
    <mergeCell ref="A5:B5"/>
    <mergeCell ref="A29:B29"/>
    <mergeCell ref="A34:B34"/>
    <mergeCell ref="A37:B37"/>
    <mergeCell ref="A38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UBC-Monthly</vt:lpstr>
      <vt:lpstr>Sectoral-Monthly</vt:lpstr>
      <vt:lpstr>UBC-Annual</vt:lpstr>
      <vt:lpstr>Sectoral-Annual</vt:lpstr>
      <vt:lpstr>Sectoral Weights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Jyoti</dc:creator>
  <cp:keywords/>
  <dc:description/>
  <cp:lastModifiedBy>Alok Pandey</cp:lastModifiedBy>
  <cp:revision/>
  <dcterms:created xsi:type="dcterms:W3CDTF">2025-05-21T12:25:27Z</dcterms:created>
  <dcterms:modified xsi:type="dcterms:W3CDTF">2026-07-28T10:32:23Z</dcterms:modified>
  <cp:category/>
  <cp:contentStatus/>
</cp:coreProperties>
</file>